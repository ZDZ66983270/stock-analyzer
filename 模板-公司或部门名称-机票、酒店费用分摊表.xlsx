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zhangzy/Library/Containers/com.tencent.xinWeChat/Data/Library/Application Support/com.tencent.xinWeChat/2.0b4.0.9/fdecea0fb76ab44c87e07c3801e659b5/Message/MessageTemp/c9d85828f3d71477854da9fc03e5aef2/File/[阿里商旅对账单]天津北清电力智慧能源有限公司[2024-10-01至2024-10-31]/[拆分]天津北清电力智慧能源有限公司[20241001至20241031]/"/>
    </mc:Choice>
  </mc:AlternateContent>
  <xr:revisionPtr revIDLastSave="0" documentId="8_{65DEE36A-FDDC-0648-B422-076B37547057}" xr6:coauthVersionLast="47" xr6:coauthVersionMax="47" xr10:uidLastSave="{00000000-0000-0000-0000-000000000000}"/>
  <bookViews>
    <workbookView xWindow="0" yWindow="700" windowWidth="22180" windowHeight="9060" activeTab="1" xr2:uid="{00000000-000D-0000-FFFF-FFFF00000000}"/>
  </bookViews>
  <sheets>
    <sheet name="机票" sheetId="2" r:id="rId1"/>
    <sheet name="酒店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3" l="1"/>
  <c r="E17" i="3"/>
  <c r="D17" i="3"/>
  <c r="C17" i="3"/>
  <c r="B17" i="3"/>
  <c r="F16" i="3"/>
  <c r="E16" i="3"/>
  <c r="D16" i="3"/>
  <c r="F15" i="3"/>
  <c r="E15" i="3"/>
  <c r="D15" i="3"/>
  <c r="B15" i="3"/>
  <c r="F10" i="3"/>
  <c r="G10" i="3" s="1"/>
  <c r="D10" i="3"/>
  <c r="E10" i="3" s="1"/>
  <c r="B10" i="3"/>
  <c r="C10" i="3" s="1"/>
  <c r="H11" i="2"/>
  <c r="H10" i="2"/>
  <c r="H9" i="2"/>
  <c r="H8" i="2"/>
  <c r="H7" i="2"/>
  <c r="D7" i="2"/>
  <c r="H6" i="2"/>
  <c r="D6" i="2"/>
  <c r="D5" i="2"/>
  <c r="K4" i="2"/>
  <c r="J4" i="2"/>
  <c r="I4" i="2"/>
  <c r="H4" i="2"/>
  <c r="G4" i="2"/>
  <c r="F4" i="2"/>
  <c r="E4" i="2"/>
  <c r="D4" i="2"/>
  <c r="C4" i="2"/>
  <c r="K3" i="2"/>
  <c r="J3" i="2"/>
  <c r="G3" i="2"/>
  <c r="D3" i="2"/>
</calcChain>
</file>

<file path=xl/sharedStrings.xml><?xml version="1.0" encoding="utf-8"?>
<sst xmlns="http://schemas.openxmlformats.org/spreadsheetml/2006/main" count="42" uniqueCount="28">
  <si>
    <t>机票分摊表</t>
  </si>
  <si>
    <t>序号</t>
  </si>
  <si>
    <t>部门</t>
  </si>
  <si>
    <t>行程单</t>
  </si>
  <si>
    <t>不含税行程单</t>
  </si>
  <si>
    <t>民航基金</t>
  </si>
  <si>
    <t>代理服务费（发票）</t>
  </si>
  <si>
    <t>不含税代理费</t>
  </si>
  <si>
    <t>退票改签费</t>
  </si>
  <si>
    <t>国际机票行程单</t>
  </si>
  <si>
    <t>总费用</t>
  </si>
  <si>
    <t>部门实际承担费用</t>
  </si>
  <si>
    <t>投资中心</t>
  </si>
  <si>
    <t>合计</t>
  </si>
  <si>
    <t>行程单9%</t>
  </si>
  <si>
    <t>代理服务费6%</t>
  </si>
  <si>
    <t>总计</t>
  </si>
  <si>
    <t>国际行程单</t>
  </si>
  <si>
    <t>服务费</t>
  </si>
  <si>
    <t>代订机票</t>
  </si>
  <si>
    <t>费用分摊表（专票）</t>
  </si>
  <si>
    <t>订单金额</t>
  </si>
  <si>
    <t>订单金额不含税</t>
  </si>
  <si>
    <t>服务费不含税</t>
  </si>
  <si>
    <t>不含税</t>
  </si>
  <si>
    <t>工程中心</t>
  </si>
  <si>
    <t>费用分摊表（普票）</t>
  </si>
  <si>
    <t>公司高管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</si>
</sst>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0.00_ "/>
    <numFmt numFmtId="181" formatCode="0.00;[Red]0.00"/>
    <numFmt numFmtId="182" formatCode="0.00_);[Red]\(0.00\)"/>
  </numFmts>
  <fonts count="8">
    <font>
      <sz val="11"/>
      <color indexed="8"/>
      <name val="宋体"/>
      <charset val="134"/>
      <scheme val="minor"/>
    </font>
    <font>
      <b/>
      <sz val="11"/>
      <color indexed="8"/>
      <name val="宋体"/>
      <family val="3"/>
      <charset val="134"/>
      <scheme val="minor"/>
    </font>
    <font>
      <b/>
      <sz val="12"/>
      <color indexed="8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20"/>
      <color indexed="8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8901333658864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80" fontId="1" fillId="3" borderId="1" xfId="0" applyNumberFormat="1" applyFont="1" applyFill="1" applyBorder="1" applyAlignment="1">
      <alignment horizontal="center" vertical="center"/>
    </xf>
    <xf numFmtId="181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80" fontId="1" fillId="4" borderId="1" xfId="0" applyNumberFormat="1" applyFont="1" applyFill="1" applyBorder="1" applyAlignment="1">
      <alignment horizontal="center" vertical="center"/>
    </xf>
    <xf numFmtId="181" fontId="1" fillId="4" borderId="1" xfId="0" applyNumberFormat="1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181" fontId="1" fillId="0" borderId="0" xfId="0" applyNumberFormat="1" applyFont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80" fontId="1" fillId="4" borderId="2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181" fontId="1" fillId="5" borderId="3" xfId="0" applyNumberFormat="1" applyFont="1" applyFill="1" applyBorder="1" applyAlignment="1">
      <alignment horizontal="center" vertical="center"/>
    </xf>
    <xf numFmtId="181" fontId="1" fillId="5" borderId="3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81" fontId="1" fillId="6" borderId="2" xfId="0" applyNumberFormat="1" applyFont="1" applyFill="1" applyBorder="1" applyAlignment="1">
      <alignment horizontal="center" vertical="center"/>
    </xf>
    <xf numFmtId="182" fontId="1" fillId="6" borderId="2" xfId="0" applyNumberFormat="1" applyFont="1" applyFill="1" applyBorder="1" applyAlignment="1">
      <alignment horizontal="center" vertical="center"/>
    </xf>
    <xf numFmtId="182" fontId="1" fillId="7" borderId="2" xfId="0" applyNumberFormat="1" applyFont="1" applyFill="1" applyBorder="1" applyAlignment="1">
      <alignment horizontal="center" vertical="center"/>
    </xf>
    <xf numFmtId="182" fontId="1" fillId="8" borderId="2" xfId="0" applyNumberFormat="1" applyFont="1" applyFill="1" applyBorder="1" applyAlignment="1">
      <alignment horizontal="center" vertical="center"/>
    </xf>
    <xf numFmtId="182" fontId="1" fillId="9" borderId="2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181" fontId="1" fillId="10" borderId="2" xfId="0" applyNumberFormat="1" applyFont="1" applyFill="1" applyBorder="1" applyAlignment="1">
      <alignment horizontal="center" vertical="center"/>
    </xf>
    <xf numFmtId="182" fontId="1" fillId="10" borderId="2" xfId="0" applyNumberFormat="1" applyFont="1" applyFill="1" applyBorder="1" applyAlignment="1">
      <alignment horizontal="center" vertical="center"/>
    </xf>
    <xf numFmtId="9" fontId="3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9" fontId="1" fillId="0" borderId="0" xfId="0" applyNumberFormat="1" applyFont="1">
      <alignment vertical="center"/>
    </xf>
    <xf numFmtId="180" fontId="1" fillId="0" borderId="0" xfId="0" applyNumberFormat="1" applyFont="1">
      <alignment vertical="center"/>
    </xf>
    <xf numFmtId="0" fontId="4" fillId="6" borderId="2" xfId="0" applyFont="1" applyFill="1" applyBorder="1">
      <alignment vertical="center"/>
    </xf>
    <xf numFmtId="180" fontId="0" fillId="0" borderId="0" xfId="0" applyNumberFormat="1">
      <alignment vertical="center"/>
    </xf>
    <xf numFmtId="0" fontId="4" fillId="6" borderId="1" xfId="0" applyFont="1" applyFill="1" applyBorder="1">
      <alignment vertical="center"/>
    </xf>
    <xf numFmtId="182" fontId="1" fillId="11" borderId="1" xfId="0" applyNumberFormat="1" applyFont="1" applyFill="1" applyBorder="1" applyAlignment="1">
      <alignment horizontal="center" vertical="center"/>
    </xf>
    <xf numFmtId="182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1"/>
  <sheetViews>
    <sheetView workbookViewId="0">
      <selection activeCell="J11" sqref="J11"/>
    </sheetView>
  </sheetViews>
  <sheetFormatPr baseColWidth="10" defaultColWidth="9" defaultRowHeight="14"/>
  <cols>
    <col min="1" max="1" width="9" customWidth="1"/>
    <col min="2" max="2" width="14.5" customWidth="1"/>
    <col min="3" max="5" width="13.1640625" customWidth="1"/>
    <col min="6" max="7" width="12.33203125" customWidth="1"/>
    <col min="8" max="8" width="14.6640625" customWidth="1"/>
    <col min="9" max="9" width="12.33203125" customWidth="1"/>
    <col min="10" max="10" width="19.6640625" customWidth="1"/>
    <col min="11" max="11" width="21" customWidth="1"/>
    <col min="12" max="12" width="15.1640625" customWidth="1"/>
  </cols>
  <sheetData>
    <row r="1" spans="1:11" ht="54" customHeight="1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s="1" customFormat="1" ht="31" customHeight="1">
      <c r="A2" s="17" t="s">
        <v>1</v>
      </c>
      <c r="B2" s="17" t="s">
        <v>2</v>
      </c>
      <c r="C2" s="18" t="s">
        <v>3</v>
      </c>
      <c r="D2" s="18" t="s">
        <v>4</v>
      </c>
      <c r="E2" s="18" t="s">
        <v>5</v>
      </c>
      <c r="F2" s="19" t="s">
        <v>6</v>
      </c>
      <c r="G2" s="19" t="s">
        <v>7</v>
      </c>
      <c r="H2" s="18" t="s">
        <v>8</v>
      </c>
      <c r="I2" s="19" t="s">
        <v>9</v>
      </c>
      <c r="J2" s="19" t="s">
        <v>10</v>
      </c>
      <c r="K2" s="19" t="s">
        <v>11</v>
      </c>
    </row>
    <row r="3" spans="1:11" ht="19" customHeight="1">
      <c r="A3" s="20">
        <v>1</v>
      </c>
      <c r="B3" s="21" t="s">
        <v>12</v>
      </c>
      <c r="C3" s="22">
        <v>1852</v>
      </c>
      <c r="D3" s="23">
        <f>C3/1.09</f>
        <v>1699.0825688073401</v>
      </c>
      <c r="E3" s="24">
        <v>100</v>
      </c>
      <c r="F3" s="25">
        <v>26</v>
      </c>
      <c r="G3" s="25">
        <f>F3/1.06</f>
        <v>24.528301886792502</v>
      </c>
      <c r="H3" s="26"/>
      <c r="I3" s="37"/>
      <c r="J3" s="38">
        <f>C3+E3+F3+H3+I3</f>
        <v>1978</v>
      </c>
      <c r="K3" s="38">
        <f>D3+E3+G3+H3+I3</f>
        <v>1823.61087069413</v>
      </c>
    </row>
    <row r="4" spans="1:11" ht="19" customHeight="1">
      <c r="A4" s="20"/>
      <c r="B4" s="27" t="s">
        <v>13</v>
      </c>
      <c r="C4" s="28">
        <f>SUM(C3:C3)</f>
        <v>1852</v>
      </c>
      <c r="D4" s="29">
        <f>C4/1.09</f>
        <v>1699.0825688073401</v>
      </c>
      <c r="E4" s="29">
        <f>SUM(E3:E3)</f>
        <v>100</v>
      </c>
      <c r="F4" s="29">
        <f>SUM(F3:F3)</f>
        <v>26</v>
      </c>
      <c r="G4" s="29">
        <f>F4/1.06</f>
        <v>24.528301886792502</v>
      </c>
      <c r="H4" s="29">
        <f>SUM(H3:H3)</f>
        <v>0</v>
      </c>
      <c r="I4" s="29">
        <f>SUM(I3:I3)</f>
        <v>0</v>
      </c>
      <c r="J4" s="38">
        <f>C4+E4+F4+H4+I4</f>
        <v>1978</v>
      </c>
      <c r="K4" s="38">
        <f>D4+E4+G4+H4+I4</f>
        <v>1823.61087069413</v>
      </c>
    </row>
    <row r="5" spans="1:11" ht="19" customHeight="1">
      <c r="B5" s="11"/>
      <c r="C5" s="30" t="s">
        <v>14</v>
      </c>
      <c r="D5" s="31">
        <f>C4-D4</f>
        <v>152.91743119266101</v>
      </c>
      <c r="E5" s="31"/>
      <c r="F5" s="11"/>
      <c r="G5" s="11"/>
      <c r="H5" s="11"/>
      <c r="I5" s="11"/>
      <c r="J5" s="11"/>
    </row>
    <row r="6" spans="1:11" ht="15" customHeight="1">
      <c r="B6" s="1"/>
      <c r="C6" s="32" t="s">
        <v>15</v>
      </c>
      <c r="D6" s="33">
        <f>F4-G4</f>
        <v>1.47169811320755</v>
      </c>
      <c r="E6" s="33"/>
      <c r="F6" s="1"/>
      <c r="G6" s="34" t="s">
        <v>3</v>
      </c>
      <c r="H6" s="34">
        <f>C4</f>
        <v>1852</v>
      </c>
      <c r="J6" s="1"/>
    </row>
    <row r="7" spans="1:11">
      <c r="C7" t="s">
        <v>16</v>
      </c>
      <c r="D7" s="35">
        <f>D5+D6+K4</f>
        <v>1978</v>
      </c>
      <c r="G7" s="34" t="s">
        <v>17</v>
      </c>
      <c r="H7" s="34">
        <f>I4</f>
        <v>0</v>
      </c>
    </row>
    <row r="8" spans="1:11">
      <c r="G8" s="34" t="s">
        <v>18</v>
      </c>
      <c r="H8" s="34">
        <f>F4</f>
        <v>26</v>
      </c>
    </row>
    <row r="9" spans="1:11">
      <c r="G9" s="34" t="s">
        <v>5</v>
      </c>
      <c r="H9" s="34">
        <f>E4</f>
        <v>100</v>
      </c>
    </row>
    <row r="10" spans="1:11">
      <c r="G10" s="34" t="s">
        <v>19</v>
      </c>
      <c r="H10" s="34">
        <f>H4</f>
        <v>0</v>
      </c>
    </row>
    <row r="11" spans="1:11">
      <c r="G11" s="36" t="s">
        <v>16</v>
      </c>
      <c r="H11" s="34">
        <f>J4</f>
        <v>1978</v>
      </c>
    </row>
  </sheetData>
  <mergeCells count="1">
    <mergeCell ref="A1:K1"/>
  </mergeCells>
  <phoneticPr fontId="7" type="noConversion"/>
  <pageMargins left="0.75" right="0.75" top="1" bottom="1" header="0.5" footer="0.5"/>
  <pageSetup paperSize="9" scale="8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7"/>
  <sheetViews>
    <sheetView tabSelected="1" workbookViewId="0">
      <selection activeCell="A3" sqref="A3:XFD9"/>
    </sheetView>
  </sheetViews>
  <sheetFormatPr baseColWidth="10" defaultColWidth="9" defaultRowHeight="14"/>
  <cols>
    <col min="1" max="1" width="28.83203125" customWidth="1"/>
    <col min="2" max="3" width="16.1640625" customWidth="1"/>
    <col min="4" max="4" width="19.6640625" customWidth="1"/>
    <col min="5" max="5" width="13" customWidth="1"/>
    <col min="6" max="6" width="13.1640625" customWidth="1"/>
    <col min="7" max="7" width="12.33203125" customWidth="1"/>
    <col min="9" max="9" width="37.1640625" customWidth="1"/>
    <col min="10" max="10" width="17.5" customWidth="1"/>
    <col min="12" max="12" width="14" customWidth="1"/>
    <col min="13" max="13" width="18.5" customWidth="1"/>
  </cols>
  <sheetData>
    <row r="1" spans="1:7" ht="19" customHeight="1">
      <c r="A1" s="40" t="s">
        <v>20</v>
      </c>
      <c r="B1" s="40"/>
      <c r="C1" s="40"/>
      <c r="D1" s="40"/>
      <c r="E1" s="40"/>
      <c r="F1" s="40"/>
      <c r="G1" s="40"/>
    </row>
    <row r="2" spans="1:7" s="1" customFormat="1" ht="31" customHeight="1">
      <c r="A2" s="2" t="s">
        <v>2</v>
      </c>
      <c r="B2" s="2" t="s">
        <v>21</v>
      </c>
      <c r="C2" s="2" t="s">
        <v>22</v>
      </c>
      <c r="D2" s="2" t="s">
        <v>18</v>
      </c>
      <c r="E2" s="2" t="s">
        <v>23</v>
      </c>
      <c r="F2" s="2" t="s">
        <v>10</v>
      </c>
      <c r="G2" s="3" t="s">
        <v>24</v>
      </c>
    </row>
    <row r="3" spans="1:7" s="1" customFormat="1" ht="31" customHeight="1">
      <c r="A3" s="4"/>
      <c r="B3" s="5"/>
      <c r="C3" s="6"/>
      <c r="D3" s="5"/>
      <c r="E3" s="6"/>
      <c r="F3" s="5"/>
      <c r="G3" s="7"/>
    </row>
    <row r="4" spans="1:7" ht="31" customHeight="1">
      <c r="A4" s="4"/>
      <c r="B4" s="5"/>
      <c r="C4" s="6"/>
      <c r="D4" s="5"/>
      <c r="E4" s="6"/>
      <c r="F4" s="5"/>
      <c r="G4" s="7"/>
    </row>
    <row r="5" spans="1:7" ht="31" customHeight="1">
      <c r="A5" s="4"/>
      <c r="B5" s="5"/>
      <c r="C5" s="6"/>
      <c r="D5" s="5"/>
      <c r="E5" s="6"/>
      <c r="F5" s="5"/>
      <c r="G5" s="7"/>
    </row>
    <row r="6" spans="1:7" ht="31" customHeight="1">
      <c r="A6" s="4"/>
      <c r="B6" s="5"/>
      <c r="C6" s="6"/>
      <c r="D6" s="5"/>
      <c r="E6" s="6"/>
      <c r="F6" s="5"/>
      <c r="G6" s="7"/>
    </row>
    <row r="7" spans="1:7" ht="31" customHeight="1">
      <c r="A7" s="4"/>
      <c r="B7" s="5"/>
      <c r="C7" s="6"/>
      <c r="D7" s="5"/>
      <c r="E7" s="6"/>
      <c r="F7" s="5"/>
      <c r="G7" s="7"/>
    </row>
    <row r="8" spans="1:7" ht="31" customHeight="1">
      <c r="A8" s="5"/>
      <c r="B8" s="5"/>
      <c r="C8" s="6"/>
      <c r="D8" s="5"/>
      <c r="E8" s="6"/>
      <c r="F8" s="5"/>
      <c r="G8" s="7"/>
    </row>
    <row r="9" spans="1:7" ht="31" customHeight="1">
      <c r="A9" s="5"/>
      <c r="B9" s="5"/>
      <c r="C9" s="6"/>
      <c r="D9" s="5"/>
      <c r="E9" s="6"/>
      <c r="F9" s="5"/>
      <c r="G9" s="7"/>
    </row>
    <row r="10" spans="1:7" ht="29" customHeight="1">
      <c r="A10" s="8" t="s">
        <v>13</v>
      </c>
      <c r="B10" s="8">
        <f>SUM(B3:B9)</f>
        <v>0</v>
      </c>
      <c r="C10" s="9">
        <f t="shared" ref="C4:C10" si="0">B10/1.06</f>
        <v>0</v>
      </c>
      <c r="D10" s="8">
        <f>SUM(D3:D9)</f>
        <v>0</v>
      </c>
      <c r="E10" s="9">
        <f t="shared" ref="E4:E10" si="1">D10/1.06</f>
        <v>0</v>
      </c>
      <c r="F10" s="8">
        <f>SUM(F3:F9)</f>
        <v>0</v>
      </c>
      <c r="G10" s="10">
        <f t="shared" ref="G4:G10" si="2">F10/1.06</f>
        <v>0</v>
      </c>
    </row>
    <row r="11" spans="1:7" ht="36" customHeight="1">
      <c r="A11" s="11"/>
      <c r="B11" s="11"/>
      <c r="C11" s="11"/>
      <c r="D11" s="11"/>
      <c r="E11" s="11"/>
      <c r="F11" s="11"/>
      <c r="G11" s="11"/>
    </row>
    <row r="12" spans="1:7" ht="36" customHeight="1"/>
    <row r="13" spans="1:7" ht="27" customHeight="1">
      <c r="A13" s="41" t="s">
        <v>26</v>
      </c>
      <c r="B13" s="41"/>
      <c r="C13" s="41"/>
      <c r="D13" s="41"/>
      <c r="E13" s="41"/>
      <c r="F13" s="41"/>
      <c r="G13" s="41"/>
    </row>
    <row r="14" spans="1:7" ht="36" customHeight="1">
      <c r="A14" s="2" t="s">
        <v>2</v>
      </c>
      <c r="B14" s="2" t="s">
        <v>21</v>
      </c>
      <c r="C14" s="2" t="s">
        <v>18</v>
      </c>
      <c r="D14" s="2" t="s">
        <v>23</v>
      </c>
      <c r="E14" s="2" t="s">
        <v>10</v>
      </c>
      <c r="F14" s="3" t="s">
        <v>24</v>
      </c>
      <c r="G14" s="12"/>
    </row>
    <row r="15" spans="1:7" ht="36" customHeight="1">
      <c r="A15" s="4" t="s">
        <v>25</v>
      </c>
      <c r="B15" s="5">
        <f>1106.61+66.4</f>
        <v>1173.01</v>
      </c>
      <c r="C15" s="5">
        <v>0</v>
      </c>
      <c r="D15" s="6">
        <f>C15/1.06</f>
        <v>0</v>
      </c>
      <c r="E15" s="5">
        <f>SUM(B15+C15)</f>
        <v>1173.01</v>
      </c>
      <c r="F15" s="7">
        <f>B15+D15</f>
        <v>1173.01</v>
      </c>
      <c r="G15" s="13"/>
    </row>
    <row r="16" spans="1:7" ht="36" customHeight="1">
      <c r="A16" s="5" t="s">
        <v>27</v>
      </c>
      <c r="B16" s="14">
        <v>3470</v>
      </c>
      <c r="C16" s="14">
        <v>0</v>
      </c>
      <c r="D16" s="6">
        <f>C16/1.06</f>
        <v>0</v>
      </c>
      <c r="E16" s="5">
        <f>SUM(B16+C16)</f>
        <v>3470</v>
      </c>
      <c r="F16" s="7">
        <f>B16+D16</f>
        <v>3470</v>
      </c>
      <c r="G16" s="13"/>
    </row>
    <row r="17" spans="1:7" ht="36" customHeight="1">
      <c r="A17" s="8" t="s">
        <v>13</v>
      </c>
      <c r="B17" s="15">
        <f>SUM(B15:B16)</f>
        <v>4643.01</v>
      </c>
      <c r="C17" s="15">
        <f>SUM(C15:C16)</f>
        <v>0</v>
      </c>
      <c r="D17" s="16">
        <f>SUM(D15:D16)</f>
        <v>0</v>
      </c>
      <c r="E17" s="15">
        <f>SUM(E15:E16)</f>
        <v>4643.01</v>
      </c>
      <c r="F17" s="16">
        <f>SUM(F15:F16)</f>
        <v>4643.01</v>
      </c>
      <c r="G17" s="13"/>
    </row>
  </sheetData>
  <mergeCells count="2">
    <mergeCell ref="A1:G1"/>
    <mergeCell ref="A13:G13"/>
  </mergeCells>
  <phoneticPr fontId="7" type="noConversion"/>
  <pageMargins left="0.75" right="0.75" top="1" bottom="1" header="0.5" footer="0.5"/>
  <pageSetup paperSize="9" scale="8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机票</vt:lpstr>
      <vt:lpstr>酒店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Microsoft Office User</cp:lastModifiedBy>
  <cp:lastPrinted>2024-09-24T02:17:00Z</cp:lastPrinted>
  <dcterms:created xsi:type="dcterms:W3CDTF">2020-04-13T14:06:00Z</dcterms:created>
  <dcterms:modified xsi:type="dcterms:W3CDTF">2024-12-02T09:48:46Z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KSOProductBuildVer">
    <vt:lpwstr>2052-12.1.0.18608</vt:lpwstr>
  </property>
  <property fmtid="{D5CDD505-2E9C-101B-9397-08002B2CF9AE}" pid="5" name="ICV">
    <vt:lpwstr>AC61D1F441C949D7960C8EA15A68B0CD_13</vt:lpwstr>
  </property>
</Properties>
</file>